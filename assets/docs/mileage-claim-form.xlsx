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e28517071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leage Claim" sheetId="1" r:id="R74f1eed8e1b94023"/>
    <x:sheet xmlns:r="http://schemas.openxmlformats.org/officeDocument/2006/relationships" name="Instructions" sheetId="2" r:id="R9035ca0c387d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"/>
    <x:numFmt numFmtId="201" formatCode="&quot;S$&quot;0.00"/>
    <x:numFmt numFmtId="202" formatCode="&quot;S$&quot;#,##0.00"/>
    <x:numFmt numFmtId="203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075985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b/>
      <x:sz val="17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D52"/>
      </x:patternFill>
    </x:fill>
    <x:fill>
      <x:patternFill patternType="solid">
        <x:fgColor rgb="FFE0F2FE"/>
      </x:patternFill>
    </x:fill>
    <x:fill>
      <x:patternFill patternType="solid">
        <x:fgColor rgb="FF087E8B"/>
      </x:patternFill>
    </x:fill>
    <x:fill>
      <x:patternFill patternType="solid">
        <x:fgColor rgb="FFF1F7FA"/>
      </x:patternFill>
    </x:fill>
    <x:fill>
      <x:patternFill patternType="solid">
        <x:fgColor rgb="FFD9EEF0"/>
      </x:patternFill>
    </x:fill>
    <x:fill>
      <x:patternFill patternType="solid">
        <x:fgColor rgb="FFDCFCE7"/>
      </x:patternFill>
    </x:fill>
    <x:fill>
      <x:patternFill patternType="solid">
        <x:fgColor rgb="FFFFF7E6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6" borderId="0" xfId="0" applyNumberFormat="1" applyFont="1" applyFill="1" applyBorder="1"/>
    <x:xf numFmtId="202" fontId="4" fillId="7" borderId="0" xfId="0" applyNumberFormat="1" applyFont="1" applyFill="1" applyBorder="1"/>
    <x:xf numFmtId="202" fontId="0" fillId="0" borderId="0" xfId="0" applyNumberFormat="1" applyFont="1" applyFill="1" applyBorder="1"/>
    <x:xf numFmtId="202" fontId="0" fillId="6" borderId="1" xfId="0" applyNumberFormat="1" applyFont="1" applyFill="1" applyBorder="1"/>
    <x:xf numFmtId="202" fontId="4" fillId="7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5" borderId="0" xfId="0" applyNumberFormat="1" applyFont="1" applyFill="1" applyBorder="1"/>
    <x:xf numFmtId="203" fontId="0" fillId="0" borderId="1" xfId="0" applyNumberFormat="1" applyFont="1" applyFill="1" applyBorder="1"/>
    <x:xf numFmtId="203" fontId="0" fillId="5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de369bacf4ee2" /><Relationship Type="http://schemas.openxmlformats.org/officeDocument/2006/relationships/theme" Target="/xl/theme/theme1.xml" Id="R92557a2a01b54576" /><Relationship Type="http://schemas.openxmlformats.org/officeDocument/2006/relationships/sharedStrings" Target="/xl/sharedStrings.xml" Id="Rd6a11b9df8eb40e5" /><Relationship Type="http://schemas.openxmlformats.org/officeDocument/2006/relationships/worksheet" Target="/xl/worksheets/sheet1.xml" Id="R74f1eed8e1b94023" /><Relationship Type="http://schemas.openxmlformats.org/officeDocument/2006/relationships/worksheet" Target="/xl/worksheets/sheet2.xml" Id="R9035ca0c387d4a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30" hidden="0" customWidth="1"/>
    <x:col min="5" max="5" width="23" hidden="0" customWidth="1"/>
    <x:col min="6" max="6" width="23" hidden="0" customWidth="1"/>
    <x:col min="7" max="7" width="19" hidden="0" customWidth="1"/>
    <x:col min="8" max="8" width="19" hidden="0" customWidth="1"/>
    <x:col min="9" max="9" width="20" hidden="0" customWidth="1"/>
    <x:col min="10" max="10" width="25" hidden="0" customWidth="1"/>
  </x:cols>
  <x:sheetData>
    <x:row r="1">
      <x:c r="A1" s="4" t="str">
        <x:v>DCI CONSULTANTS  |  MONTHLY MILEAGE CLAIM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9" t="str">
        <x:v>For staff using their own car or motorcycle • Business travel only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5">
      <x:c r="A5" t="str">
        <x:v>Staff name</x:v>
      </x:c>
      <x:c r="B5"/>
      <x:c r="D5" t="str">
        <x:v>Claim month</x:v>
      </x:c>
      <x:c r="E5"/>
      <x:c r="G5" t="str">
        <x:v>Department</x:v>
      </x:c>
      <x:c r="H5"/>
    </x:row>
    <x:row r="6">
      <x:c r="A6" t="str">
        <x:v>Employee ID</x:v>
      </x:c>
      <x:c r="B6"/>
      <x:c r="D6" t="str">
        <x:v>Vehicle type</x:v>
      </x:c>
      <x:c r="E6"/>
      <x:c r="G6" t="str">
        <x:v>Vehicle no.</x:v>
      </x:c>
      <x:c r="H6"/>
    </x:row>
    <x:row r="8">
      <x:c r="A8" t="str">
        <x:v>Mileage rate (S$/km)</x:v>
      </x:c>
      <x:c r="B8" s="36" t="n">
        <x:v>0.25</x:v>
      </x:c>
      <x:c r="D8" t="str">
        <x:v>Monthly cap (S$)</x:v>
      </x:c>
      <x:c r="E8" s="36" t="n">
        <x:v>250</x:v>
      </x:c>
      <x:c r="G8" t="str">
        <x:v>Maximum payable km</x:v>
      </x:c>
      <x:c r="H8" t="n">
        <x:f>E8/B8</x:f>
        <x:v>1000</x:v>
      </x:c>
    </x:row>
    <x:row r="10" ht="37" customHeight="1">
      <x:c r="A10" s="15" t="str">
        <x:v>Date</x:v>
      </x:c>
      <x:c r="B10" s="15" t="str">
        <x:v>From</x:v>
      </x:c>
      <x:c r="C10" s="15" t="str">
        <x:v>To</x:v>
      </x:c>
      <x:c r="D10" s="15" t="str">
        <x:v>Business purpose</x:v>
      </x:c>
      <x:c r="E10" s="15" t="str">
        <x:v>Odometer start (km)</x:v>
      </x:c>
      <x:c r="F10" s="15" t="str">
        <x:v>Odometer end (km)</x:v>
      </x:c>
      <x:c r="G10" s="15" t="str">
        <x:v>Distance (km)</x:v>
      </x:c>
      <x:c r="H10" s="15" t="str">
        <x:v>Rate (S$/km)</x:v>
      </x:c>
      <x:c r="I10" s="15" t="str">
        <x:v>Claim (S$)</x:v>
      </x:c>
      <x:c r="J10" s="15" t="str">
        <x:v>Remarks / Ref</x:v>
      </x:c>
    </x:row>
    <x:row r="11">
      <x:c r="A11" s="32"/>
      <x:c r="E11" s="46"/>
      <x:c r="F11" s="46"/>
      <x:c r="G11" s="46" t="str">
        <x:f>IF(AND(ISNUMBER(E11),ISNUMBER(F11)),MAX(0,F11-E11),"")</x:f>
      </x:c>
      <x:c r="H11" s="36" t="str">
        <x:f>IF(G11="","",$B$8)</x:f>
      </x:c>
      <x:c r="I11" s="36" t="str">
        <x:f>IF(G11="","",ROUND(G11*H11,2))</x:f>
      </x:c>
    </x:row>
    <x:row r="12">
      <x:c r="A12" s="33"/>
      <x:c r="B12" s="20"/>
      <x:c r="C12" s="20"/>
      <x:c r="D12" s="20"/>
      <x:c r="E12" s="47"/>
      <x:c r="F12" s="47"/>
      <x:c r="G12" s="47" t="str">
        <x:f>IF(AND(ISNUMBER(E12),ISNUMBER(F12)),MAX(0,F12-E12),"")</x:f>
      </x:c>
      <x:c r="H12" s="38" t="str">
        <x:f>IF(G12="","",$B$8)</x:f>
      </x:c>
      <x:c r="I12" s="38" t="str">
        <x:f>IF(G12="","",ROUND(G12*H12,2))</x:f>
      </x:c>
      <x:c r="J12" s="20"/>
    </x:row>
    <x:row r="13">
      <x:c r="A13" s="32"/>
      <x:c r="E13" s="46"/>
      <x:c r="F13" s="46"/>
      <x:c r="G13" s="46" t="str">
        <x:f>IF(AND(ISNUMBER(E13),ISNUMBER(F13)),MAX(0,F13-E13),"")</x:f>
      </x:c>
      <x:c r="H13" s="36" t="str">
        <x:f>IF(G13="","",$B$8)</x:f>
      </x:c>
      <x:c r="I13" s="36" t="str">
        <x:f>IF(G13="","",ROUND(G13*H13,2))</x:f>
      </x:c>
    </x:row>
    <x:row r="14">
      <x:c r="A14" s="33"/>
      <x:c r="B14" s="20"/>
      <x:c r="C14" s="20"/>
      <x:c r="D14" s="20"/>
      <x:c r="E14" s="47"/>
      <x:c r="F14" s="47"/>
      <x:c r="G14" s="47" t="str">
        <x:f>IF(AND(ISNUMBER(E14),ISNUMBER(F14)),MAX(0,F14-E14),"")</x:f>
      </x:c>
      <x:c r="H14" s="38" t="str">
        <x:f>IF(G14="","",$B$8)</x:f>
      </x:c>
      <x:c r="I14" s="38" t="str">
        <x:f>IF(G14="","",ROUND(G14*H14,2))</x:f>
      </x:c>
      <x:c r="J14" s="20"/>
    </x:row>
    <x:row r="15">
      <x:c r="A15" s="32"/>
      <x:c r="E15" s="46"/>
      <x:c r="F15" s="46"/>
      <x:c r="G15" s="46" t="str">
        <x:f>IF(AND(ISNUMBER(E15),ISNUMBER(F15)),MAX(0,F15-E15),"")</x:f>
      </x:c>
      <x:c r="H15" s="36" t="str">
        <x:f>IF(G15="","",$B$8)</x:f>
      </x:c>
      <x:c r="I15" s="36" t="str">
        <x:f>IF(G15="","",ROUND(G15*H15,2))</x:f>
      </x:c>
    </x:row>
    <x:row r="16">
      <x:c r="A16" s="33"/>
      <x:c r="B16" s="20"/>
      <x:c r="C16" s="20"/>
      <x:c r="D16" s="20"/>
      <x:c r="E16" s="47"/>
      <x:c r="F16" s="47"/>
      <x:c r="G16" s="47" t="str">
        <x:f>IF(AND(ISNUMBER(E16),ISNUMBER(F16)),MAX(0,F16-E16),"")</x:f>
      </x:c>
      <x:c r="H16" s="38" t="str">
        <x:f>IF(G16="","",$B$8)</x:f>
      </x:c>
      <x:c r="I16" s="38" t="str">
        <x:f>IF(G16="","",ROUND(G16*H16,2))</x:f>
      </x:c>
      <x:c r="J16" s="20"/>
    </x:row>
    <x:row r="17">
      <x:c r="A17" s="32"/>
      <x:c r="E17" s="46"/>
      <x:c r="F17" s="46"/>
      <x:c r="G17" s="46" t="str">
        <x:f>IF(AND(ISNUMBER(E17),ISNUMBER(F17)),MAX(0,F17-E17),"")</x:f>
      </x:c>
      <x:c r="H17" s="36" t="str">
        <x:f>IF(G17="","",$B$8)</x:f>
      </x:c>
      <x:c r="I17" s="36" t="str">
        <x:f>IF(G17="","",ROUND(G17*H17,2))</x:f>
      </x:c>
    </x:row>
    <x:row r="18">
      <x:c r="A18" s="33"/>
      <x:c r="B18" s="20"/>
      <x:c r="C18" s="20"/>
      <x:c r="D18" s="20"/>
      <x:c r="E18" s="47"/>
      <x:c r="F18" s="47"/>
      <x:c r="G18" s="47" t="str">
        <x:f>IF(AND(ISNUMBER(E18),ISNUMBER(F18)),MAX(0,F18-E18),"")</x:f>
      </x:c>
      <x:c r="H18" s="38" t="str">
        <x:f>IF(G18="","",$B$8)</x:f>
      </x:c>
      <x:c r="I18" s="38" t="str">
        <x:f>IF(G18="","",ROUND(G18*H18,2))</x:f>
      </x:c>
      <x:c r="J18" s="20"/>
    </x:row>
    <x:row r="19">
      <x:c r="A19" s="32"/>
      <x:c r="E19" s="46"/>
      <x:c r="F19" s="46"/>
      <x:c r="G19" s="46" t="str">
        <x:f>IF(AND(ISNUMBER(E19),ISNUMBER(F19)),MAX(0,F19-E19),"")</x:f>
      </x:c>
      <x:c r="H19" s="36" t="str">
        <x:f>IF(G19="","",$B$8)</x:f>
      </x:c>
      <x:c r="I19" s="36" t="str">
        <x:f>IF(G19="","",ROUND(G19*H19,2))</x:f>
      </x:c>
    </x:row>
    <x:row r="20">
      <x:c r="A20" s="33"/>
      <x:c r="B20" s="20"/>
      <x:c r="C20" s="20"/>
      <x:c r="D20" s="20"/>
      <x:c r="E20" s="47"/>
      <x:c r="F20" s="47"/>
      <x:c r="G20" s="47" t="str">
        <x:f>IF(AND(ISNUMBER(E20),ISNUMBER(F20)),MAX(0,F20-E20),"")</x:f>
      </x:c>
      <x:c r="H20" s="38" t="str">
        <x:f>IF(G20="","",$B$8)</x:f>
      </x:c>
      <x:c r="I20" s="38" t="str">
        <x:f>IF(G20="","",ROUND(G20*H20,2))</x:f>
      </x:c>
      <x:c r="J20" s="20"/>
    </x:row>
    <x:row r="21">
      <x:c r="A21" s="32"/>
      <x:c r="E21" s="46"/>
      <x:c r="F21" s="46"/>
      <x:c r="G21" s="46" t="str">
        <x:f>IF(AND(ISNUMBER(E21),ISNUMBER(F21)),MAX(0,F21-E21),"")</x:f>
      </x:c>
      <x:c r="H21" s="36" t="str">
        <x:f>IF(G21="","",$B$8)</x:f>
      </x:c>
      <x:c r="I21" s="36" t="str">
        <x:f>IF(G21="","",ROUND(G21*H21,2))</x:f>
      </x:c>
    </x:row>
    <x:row r="22">
      <x:c r="A22" s="33"/>
      <x:c r="B22" s="20"/>
      <x:c r="C22" s="20"/>
      <x:c r="D22" s="20"/>
      <x:c r="E22" s="47"/>
      <x:c r="F22" s="47"/>
      <x:c r="G22" s="47" t="str">
        <x:f>IF(AND(ISNUMBER(E22),ISNUMBER(F22)),MAX(0,F22-E22),"")</x:f>
      </x:c>
      <x:c r="H22" s="38" t="str">
        <x:f>IF(G22="","",$B$8)</x:f>
      </x:c>
      <x:c r="I22" s="38" t="str">
        <x:f>IF(G22="","",ROUND(G22*H22,2))</x:f>
      </x:c>
      <x:c r="J22" s="20"/>
    </x:row>
    <x:row r="23">
      <x:c r="A23" s="32"/>
      <x:c r="E23" s="46"/>
      <x:c r="F23" s="46"/>
      <x:c r="G23" s="46" t="str">
        <x:f>IF(AND(ISNUMBER(E23),ISNUMBER(F23)),MAX(0,F23-E23),"")</x:f>
      </x:c>
      <x:c r="H23" s="36" t="str">
        <x:f>IF(G23="","",$B$8)</x:f>
      </x:c>
      <x:c r="I23" s="36" t="str">
        <x:f>IF(G23="","",ROUND(G23*H23,2))</x:f>
      </x:c>
    </x:row>
    <x:row r="24">
      <x:c r="A24" s="33"/>
      <x:c r="B24" s="20"/>
      <x:c r="C24" s="20"/>
      <x:c r="D24" s="20"/>
      <x:c r="E24" s="47"/>
      <x:c r="F24" s="47"/>
      <x:c r="G24" s="47" t="str">
        <x:f>IF(AND(ISNUMBER(E24),ISNUMBER(F24)),MAX(0,F24-E24),"")</x:f>
      </x:c>
      <x:c r="H24" s="38" t="str">
        <x:f>IF(G24="","",$B$8)</x:f>
      </x:c>
      <x:c r="I24" s="38" t="str">
        <x:f>IF(G24="","",ROUND(G24*H24,2))</x:f>
      </x:c>
      <x:c r="J24" s="20"/>
    </x:row>
    <x:row r="25">
      <x:c r="A25" s="32"/>
      <x:c r="E25" s="46"/>
      <x:c r="F25" s="46"/>
      <x:c r="G25" s="46" t="str">
        <x:f>IF(AND(ISNUMBER(E25),ISNUMBER(F25)),MAX(0,F25-E25),"")</x:f>
      </x:c>
      <x:c r="H25" s="36" t="str">
        <x:f>IF(G25="","",$B$8)</x:f>
      </x:c>
      <x:c r="I25" s="36" t="str">
        <x:f>IF(G25="","",ROUND(G25*H25,2))</x:f>
      </x:c>
    </x:row>
    <x:row r="26">
      <x:c r="A26" s="33"/>
      <x:c r="B26" s="20"/>
      <x:c r="C26" s="20"/>
      <x:c r="D26" s="20"/>
      <x:c r="E26" s="47"/>
      <x:c r="F26" s="47"/>
      <x:c r="G26" s="47" t="str">
        <x:f>IF(AND(ISNUMBER(E26),ISNUMBER(F26)),MAX(0,F26-E26),"")</x:f>
      </x:c>
      <x:c r="H26" s="38" t="str">
        <x:f>IF(G26="","",$B$8)</x:f>
      </x:c>
      <x:c r="I26" s="38" t="str">
        <x:f>IF(G26="","",ROUND(G26*H26,2))</x:f>
      </x:c>
      <x:c r="J26" s="20"/>
    </x:row>
    <x:row r="27">
      <x:c r="A27" s="32"/>
      <x:c r="E27" s="46"/>
      <x:c r="F27" s="46"/>
      <x:c r="G27" s="46" t="str">
        <x:f>IF(AND(ISNUMBER(E27),ISNUMBER(F27)),MAX(0,F27-E27),"")</x:f>
      </x:c>
      <x:c r="H27" s="36" t="str">
        <x:f>IF(G27="","",$B$8)</x:f>
      </x:c>
      <x:c r="I27" s="36" t="str">
        <x:f>IF(G27="","",ROUND(G27*H27,2))</x:f>
      </x:c>
    </x:row>
    <x:row r="28">
      <x:c r="A28" s="33"/>
      <x:c r="B28" s="20"/>
      <x:c r="C28" s="20"/>
      <x:c r="D28" s="20"/>
      <x:c r="E28" s="47"/>
      <x:c r="F28" s="47"/>
      <x:c r="G28" s="47" t="str">
        <x:f>IF(AND(ISNUMBER(E28),ISNUMBER(F28)),MAX(0,F28-E28),"")</x:f>
      </x:c>
      <x:c r="H28" s="38" t="str">
        <x:f>IF(G28="","",$B$8)</x:f>
      </x:c>
      <x:c r="I28" s="38" t="str">
        <x:f>IF(G28="","",ROUND(G28*H28,2))</x:f>
      </x:c>
      <x:c r="J28" s="20"/>
    </x:row>
    <x:row r="29">
      <x:c r="A29" s="32"/>
      <x:c r="E29" s="46"/>
      <x:c r="F29" s="46"/>
      <x:c r="G29" s="46" t="str">
        <x:f>IF(AND(ISNUMBER(E29),ISNUMBER(F29)),MAX(0,F29-E29),"")</x:f>
      </x:c>
      <x:c r="H29" s="36" t="str">
        <x:f>IF(G29="","",$B$8)</x:f>
      </x:c>
      <x:c r="I29" s="36" t="str">
        <x:f>IF(G29="","",ROUND(G29*H29,2))</x:f>
      </x:c>
    </x:row>
    <x:row r="30">
      <x:c r="A30" s="33"/>
      <x:c r="B30" s="20"/>
      <x:c r="C30" s="20"/>
      <x:c r="D30" s="20"/>
      <x:c r="E30" s="47"/>
      <x:c r="F30" s="47"/>
      <x:c r="G30" s="47" t="str">
        <x:f>IF(AND(ISNUMBER(E30),ISNUMBER(F30)),MAX(0,F30-E30),"")</x:f>
      </x:c>
      <x:c r="H30" s="38" t="str">
        <x:f>IF(G30="","",$B$8)</x:f>
      </x:c>
      <x:c r="I30" s="38" t="str">
        <x:f>IF(G30="","",ROUND(G30*H30,2))</x:f>
      </x:c>
      <x:c r="J30" s="20"/>
    </x:row>
    <x:row r="31">
      <x:c r="A31" s="32"/>
      <x:c r="E31" s="46"/>
      <x:c r="F31" s="46"/>
      <x:c r="G31" s="46" t="str">
        <x:f>IF(AND(ISNUMBER(E31),ISNUMBER(F31)),MAX(0,F31-E31),"")</x:f>
      </x:c>
      <x:c r="H31" s="36" t="str">
        <x:f>IF(G31="","",$B$8)</x:f>
      </x:c>
      <x:c r="I31" s="36" t="str">
        <x:f>IF(G31="","",ROUND(G31*H31,2))</x:f>
      </x:c>
    </x:row>
    <x:row r="32">
      <x:c r="A32" s="33"/>
      <x:c r="B32" s="20"/>
      <x:c r="C32" s="20"/>
      <x:c r="D32" s="20"/>
      <x:c r="E32" s="47"/>
      <x:c r="F32" s="47"/>
      <x:c r="G32" s="47" t="str">
        <x:f>IF(AND(ISNUMBER(E32),ISNUMBER(F32)),MAX(0,F32-E32),"")</x:f>
      </x:c>
      <x:c r="H32" s="38" t="str">
        <x:f>IF(G32="","",$B$8)</x:f>
      </x:c>
      <x:c r="I32" s="38" t="str">
        <x:f>IF(G32="","",ROUND(G32*H32,2))</x:f>
      </x:c>
      <x:c r="J32" s="20"/>
    </x:row>
    <x:row r="33">
      <x:c r="A33" s="32"/>
      <x:c r="E33" s="46"/>
      <x:c r="F33" s="46"/>
      <x:c r="G33" s="46" t="str">
        <x:f>IF(AND(ISNUMBER(E33),ISNUMBER(F33)),MAX(0,F33-E33),"")</x:f>
      </x:c>
      <x:c r="H33" s="36" t="str">
        <x:f>IF(G33="","",$B$8)</x:f>
      </x:c>
      <x:c r="I33" s="36" t="str">
        <x:f>IF(G33="","",ROUND(G33*H33,2))</x:f>
      </x:c>
    </x:row>
    <x:row r="34">
      <x:c r="A34" s="33"/>
      <x:c r="B34" s="20"/>
      <x:c r="C34" s="20"/>
      <x:c r="D34" s="20"/>
      <x:c r="E34" s="47"/>
      <x:c r="F34" s="47"/>
      <x:c r="G34" s="47" t="str">
        <x:f>IF(AND(ISNUMBER(E34),ISNUMBER(F34)),MAX(0,F34-E34),"")</x:f>
      </x:c>
      <x:c r="H34" s="38" t="str">
        <x:f>IF(G34="","",$B$8)</x:f>
      </x:c>
      <x:c r="I34" s="38" t="str">
        <x:f>IF(G34="","",ROUND(G34*H34,2))</x:f>
      </x:c>
      <x:c r="J34" s="20"/>
    </x:row>
    <x:row r="35">
      <x:c r="A35" s="32"/>
      <x:c r="E35" s="46"/>
      <x:c r="F35" s="46"/>
      <x:c r="G35" s="46" t="str">
        <x:f>IF(AND(ISNUMBER(E35),ISNUMBER(F35)),MAX(0,F35-E35),"")</x:f>
      </x:c>
      <x:c r="H35" s="36" t="str">
        <x:f>IF(G35="","",$B$8)</x:f>
      </x:c>
      <x:c r="I35" s="36" t="str">
        <x:f>IF(G35="","",ROUND(G35*H35,2))</x:f>
      </x:c>
    </x:row>
    <x:row r="36">
      <x:c r="A36" s="33"/>
      <x:c r="B36" s="20"/>
      <x:c r="C36" s="20"/>
      <x:c r="D36" s="20"/>
      <x:c r="E36" s="47"/>
      <x:c r="F36" s="47"/>
      <x:c r="G36" s="47" t="str">
        <x:f>IF(AND(ISNUMBER(E36),ISNUMBER(F36)),MAX(0,F36-E36),"")</x:f>
      </x:c>
      <x:c r="H36" s="38" t="str">
        <x:f>IF(G36="","",$B$8)</x:f>
      </x:c>
      <x:c r="I36" s="38" t="str">
        <x:f>IF(G36="","",ROUND(G36*H36,2))</x:f>
      </x:c>
      <x:c r="J36" s="20"/>
    </x:row>
    <x:row r="37">
      <x:c r="A37" s="32"/>
      <x:c r="E37" s="46"/>
      <x:c r="F37" s="46"/>
      <x:c r="G37" s="46" t="str">
        <x:f>IF(AND(ISNUMBER(E37),ISNUMBER(F37)),MAX(0,F37-E37),"")</x:f>
      </x:c>
      <x:c r="H37" s="36" t="str">
        <x:f>IF(G37="","",$B$8)</x:f>
      </x:c>
      <x:c r="I37" s="36" t="str">
        <x:f>IF(G37="","",ROUND(G37*H37,2))</x:f>
      </x:c>
    </x:row>
    <x:row r="38">
      <x:c r="A38" s="33"/>
      <x:c r="B38" s="20"/>
      <x:c r="C38" s="20"/>
      <x:c r="D38" s="20"/>
      <x:c r="E38" s="47"/>
      <x:c r="F38" s="47"/>
      <x:c r="G38" s="47" t="str">
        <x:f>IF(AND(ISNUMBER(E38),ISNUMBER(F38)),MAX(0,F38-E38),"")</x:f>
      </x:c>
      <x:c r="H38" s="38" t="str">
        <x:f>IF(G38="","",$B$8)</x:f>
      </x:c>
      <x:c r="I38" s="38" t="str">
        <x:f>IF(G38="","",ROUND(G38*H38,2))</x:f>
      </x:c>
      <x:c r="J38" s="20"/>
    </x:row>
    <x:row r="39">
      <x:c r="A39" s="32"/>
      <x:c r="E39" s="46"/>
      <x:c r="F39" s="46"/>
      <x:c r="G39" s="46" t="str">
        <x:f>IF(AND(ISNUMBER(E39),ISNUMBER(F39)),MAX(0,F39-E39),"")</x:f>
      </x:c>
      <x:c r="H39" s="36" t="str">
        <x:f>IF(G39="","",$B$8)</x:f>
      </x:c>
      <x:c r="I39" s="36" t="str">
        <x:f>IF(G39="","",ROUND(G39*H39,2))</x:f>
      </x:c>
    </x:row>
    <x:row r="40">
      <x:c r="A40" s="33"/>
      <x:c r="B40" s="20"/>
      <x:c r="C40" s="20"/>
      <x:c r="D40" s="20"/>
      <x:c r="E40" s="47"/>
      <x:c r="F40" s="47"/>
      <x:c r="G40" s="47" t="str">
        <x:f>IF(AND(ISNUMBER(E40),ISNUMBER(F40)),MAX(0,F40-E40),"")</x:f>
      </x:c>
      <x:c r="H40" s="38" t="str">
        <x:f>IF(G40="","",$B$8)</x:f>
      </x:c>
      <x:c r="I40" s="38" t="str">
        <x:f>IF(G40="","",ROUND(G40*H40,2))</x:f>
      </x:c>
      <x:c r="J40" s="20"/>
    </x:row>
    <x:row r="41">
      <x:c r="A41" s="32"/>
      <x:c r="E41" s="46"/>
      <x:c r="F41" s="46"/>
      <x:c r="G41" s="46" t="str">
        <x:f>IF(AND(ISNUMBER(E41),ISNUMBER(F41)),MAX(0,F41-E41),"")</x:f>
      </x:c>
      <x:c r="H41" s="36" t="str">
        <x:f>IF(G41="","",$B$8)</x:f>
      </x:c>
      <x:c r="I41" s="36" t="str">
        <x:f>IF(G41="","",ROUND(G41*H41,2))</x:f>
      </x:c>
    </x:row>
    <x:row r="43">
      <x:c r="A43" s="22" t="str">
        <x:v>MONTHLY CLAIM SUMMARY</x:v>
      </x:c>
      <x:c r="B43" s="22"/>
      <x:c r="C43" s="22"/>
      <x:c r="D43" s="22"/>
      <x:c r="E43" s="22"/>
      <x:c r="F43" s="22"/>
      <x:c r="G43" s="22" t="str">
        <x:v>Total km</x:v>
      </x:c>
      <x:c r="H43" s="22" t="n">
        <x:f>SUM(G11:G41)</x:f>
        <x:v>0</x:v>
      </x:c>
      <x:c r="I43" s="22" t="str">
        <x:v>Gross claim</x:v>
      </x:c>
      <x:c r="J43" s="40" t="n">
        <x:f>SUM(I11:I41)</x:f>
        <x:v>0</x:v>
      </x:c>
    </x:row>
    <x:row r="44">
      <x:c r="G44" s="25" t="str">
        <x:v>PAYABLE (after S$250 cap)</x:v>
      </x:c>
      <x:c r="H44" s="25"/>
      <x:c r="I44" s="25"/>
      <x:c r="J44" s="41" t="n">
        <x:f>MIN(J43,$E$8)</x:f>
        <x:v>0</x:v>
      </x:c>
    </x:row>
    <x:row r="45">
      <x:c r="G45" t="str">
        <x:v>Amount above cap (not payable)</x:v>
      </x:c>
      <x:c r="J45" s="42" t="n">
        <x:f>MAX(0,J43-$E$8)</x:f>
        <x:v>0</x:v>
      </x:c>
    </x:row>
    <x:row r="47" ht="38" customHeight="1">
      <x:c r="A47" s="29" t="str">
        <x:v>Declaration: All journeys claimed were for authorised business purposes. Home-to-office commuting is excluded unless specifically approved.</x:v>
      </x:c>
      <x:c r="B47" s="29"/>
      <x:c r="C47" s="29"/>
      <x:c r="D47" s="29"/>
      <x:c r="E47" s="29"/>
      <x:c r="F47" s="29"/>
      <x:c r="G47" s="29"/>
      <x:c r="H47" s="29"/>
      <x:c r="I47" s="29"/>
      <x:c r="J47" s="29"/>
    </x:row>
    <x:row r="49">
      <x:c r="A49" t="str">
        <x:v>Claimant signature / date: __________________________</x:v>
      </x:c>
      <x:c r="F49" t="str">
        <x:v>Approved by / date: __________________________</x:v>
      </x:c>
    </x:row>
  </x:sheetData>
  <x:mergeCells>
    <x:mergeCell ref="A1:J2"/>
    <x:mergeCell ref="A3:J3"/>
    <x:mergeCell ref="A43:F43"/>
    <x:mergeCell ref="G44:I44"/>
    <x:mergeCell ref="G45:I45"/>
    <x:mergeCell ref="A47:J47"/>
    <x:mergeCell ref="A49:D49"/>
    <x:mergeCell ref="F49:J49"/>
  </x:mergeCells>
  <x:dataValidations count="1">
    <x:dataValidation type="list" sqref="E6">
      <x:formula1>"Car,Motorcycle"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0" hidden="0" customWidth="1"/>
  </x:cols>
  <x:sheetData>
    <x:row r="1">
      <x:c r="A1" s="50" t="str">
        <x:v>DCI | Mileage Claim Instructions</x:v>
      </x:c>
      <x:c r="B1" s="50"/>
      <x:c r="C1" s="50"/>
      <x:c r="D1" s="50"/>
      <x:c r="E1" s="50"/>
      <x:c r="F1" s="50"/>
    </x:row>
    <x:row r="2">
      <x:c r="A2" s="50"/>
      <x:c r="B2" s="50"/>
      <x:c r="C2" s="50"/>
      <x:c r="D2" s="50"/>
      <x:c r="E2" s="50"/>
      <x:c r="F2" s="50"/>
    </x:row>
    <x:row r="4" ht="32" customHeight="1">
      <x:c r="A4" s="52" t="str">
        <x:v>1</x:v>
      </x:c>
      <x:c r="B4" s="54" t="str">
        <x:v>Enter staff details and claim month in the Mileage Claim sheet.</x:v>
      </x:c>
    </x:row>
    <x:row r="5" ht="32" customHeight="1">
      <x:c r="A5" s="52" t="str">
        <x:v>2</x:v>
      </x:c>
      <x:c r="B5" s="54" t="str">
        <x:v>Choose Car or Motorcycle. Both use S$0.25 per kilometre.</x:v>
      </x:c>
    </x:row>
    <x:row r="6" ht="32" customHeight="1">
      <x:c r="A6" s="52" t="str">
        <x:v>3</x:v>
      </x:c>
      <x:c r="B6" s="54" t="str">
        <x:v>For each business trip, enter date, start point, destination, purpose and odometer readings.</x:v>
      </x:c>
    </x:row>
    <x:row r="7" ht="32" customHeight="1">
      <x:c r="A7" s="52" t="str">
        <x:v>4</x:v>
      </x:c>
      <x:c r="B7" s="54" t="str">
        <x:v>Distance and claim amount are calculated automatically.</x:v>
      </x:c>
    </x:row>
    <x:row r="8" ht="32" customHeight="1">
      <x:c r="A8" s="52" t="str">
        <x:v>5</x:v>
      </x:c>
      <x:c r="B8" s="54" t="str">
        <x:v>Total payable is limited to S$250 per employee per month (1,000 km at S$0.25/km).</x:v>
      </x:c>
    </x:row>
    <x:row r="9" ht="32" customHeight="1">
      <x:c r="A9" s="52" t="str">
        <x:v>6</x:v>
      </x:c>
      <x:c r="B9" s="54" t="str">
        <x:v>Submit supporting trip records if required, sign and obtain supervisor approval.</x:v>
      </x:c>
    </x:row>
    <x:row r="10" ht="32" customHeight="1">
      <x:c r="A10" s="52" t="str">
        <x:v>7</x:v>
      </x:c>
      <x:c r="B10" s="54" t="str">
        <x:v>Do not combine different months on one claim form; make a copy for each month.</x:v>
      </x:c>
    </x:row>
    <x:row r="11" ht="32" customHeight="1">
      <x:c r="A11" s="52" t="str">
        <x:v>Note</x:v>
      </x:c>
      <x:c r="B11" s="54" t="str">
        <x:v>Travel eligibility and supporting-document requirements are subject to DCI approval.</x:v>
      </x:c>
    </x:row>
  </x:sheetData>
  <x:mergeCells>
    <x:mergeCell ref="A1:F2"/>
  </x:mergeCells>
  <x:pageMargins left="0.7" right="0.7" top="0.75" bottom="0.75" header="0.3" footer="0.3"/>
</x:worksheet>
</file>